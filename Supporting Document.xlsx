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tchell-my.sharepoint.com/personal/jchoi_kitchell_com/Documents/JC/Sac State MSBA/03. Fall Semester 2025/MSBA 204 - Decision Analytics (Tue)/Team Case Study/"/>
    </mc:Choice>
  </mc:AlternateContent>
  <xr:revisionPtr revIDLastSave="790" documentId="8_{6A8D4921-A098-49EB-9A92-8AB4490C790E}" xr6:coauthVersionLast="47" xr6:coauthVersionMax="47" xr10:uidLastSave="{3D4C767E-9770-4207-A2FA-AA5DD4BDEE34}"/>
  <bookViews>
    <workbookView xWindow="-120" yWindow="-120" windowWidth="29040" windowHeight="15720" xr2:uid="{D0C785CB-7F0C-4136-8E1A-149A4C864525}"/>
  </bookViews>
  <sheets>
    <sheet name="Network Diagram" sheetId="7" r:id="rId1"/>
    <sheet name="Setup" sheetId="4" r:id="rId2"/>
    <sheet name="Cost" sheetId="3" r:id="rId3"/>
    <sheet name="Variab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4" l="1"/>
</calcChain>
</file>

<file path=xl/sharedStrings.xml><?xml version="1.0" encoding="utf-8"?>
<sst xmlns="http://schemas.openxmlformats.org/spreadsheetml/2006/main" count="261" uniqueCount="79">
  <si>
    <t>Origin</t>
  </si>
  <si>
    <t>Supply</t>
  </si>
  <si>
    <t>Destination</t>
  </si>
  <si>
    <t>Demand</t>
  </si>
  <si>
    <t>From</t>
  </si>
  <si>
    <t>To</t>
  </si>
  <si>
    <t>South America</t>
  </si>
  <si>
    <t>Southeast Asia</t>
  </si>
  <si>
    <t>∞</t>
  </si>
  <si>
    <t>Europe</t>
  </si>
  <si>
    <t>Total</t>
  </si>
  <si>
    <t>Toronto</t>
  </si>
  <si>
    <t>Calgary</t>
  </si>
  <si>
    <t>Winnipeg</t>
  </si>
  <si>
    <t>Ottawa</t>
  </si>
  <si>
    <t>Montreal</t>
  </si>
  <si>
    <t>Halifax</t>
  </si>
  <si>
    <t>Notes:</t>
  </si>
  <si>
    <t>Type</t>
  </si>
  <si>
    <t>Pure Supply</t>
  </si>
  <si>
    <t>Pure Demand</t>
  </si>
  <si>
    <t>Vancouver</t>
  </si>
  <si>
    <t>Pure Hub</t>
  </si>
  <si>
    <t>Hybrid (Demand + Hub)</t>
  </si>
  <si>
    <t>Hybrid (Supply + Hub)</t>
  </si>
  <si>
    <t>Cost: Origins to Transshipment</t>
  </si>
  <si>
    <t>Cost: Transshipment to Destination</t>
  </si>
  <si>
    <t>Origin / Hub</t>
  </si>
  <si>
    <t>Vancouver*</t>
  </si>
  <si>
    <t>n/a</t>
  </si>
  <si>
    <r>
      <t>Vancouver</t>
    </r>
    <r>
      <rPr>
        <sz val="11"/>
        <color theme="1"/>
        <rFont val="Aptos Narrow"/>
        <family val="2"/>
        <scheme val="minor"/>
      </rPr>
      <t>*</t>
    </r>
  </si>
  <si>
    <t xml:space="preserve">   Supply &gt; Demand = unbalanced with excess supply</t>
  </si>
  <si>
    <t xml:space="preserve">   Supply constraints use “≤”</t>
  </si>
  <si>
    <r>
      <t xml:space="preserve">   Demand constraints use “=”</t>
    </r>
    <r>
      <rPr>
        <sz val="11"/>
        <color theme="1"/>
        <rFont val="Aptos Narrow"/>
        <family val="2"/>
        <scheme val="minor"/>
      </rPr>
      <t xml:space="preserve"> (each demand must be fully satisfied)</t>
    </r>
  </si>
  <si>
    <t>Network Flow Diagram</t>
  </si>
  <si>
    <t>ORIGINS</t>
  </si>
  <si>
    <t>TRANSSHIPMENTS</t>
  </si>
  <si>
    <t>DESTINATIONS</t>
  </si>
  <si>
    <t>Infinity</t>
  </si>
  <si>
    <t>ON (Toronto)</t>
  </si>
  <si>
    <r>
      <t>ON (Toronto)</t>
    </r>
    <r>
      <rPr>
        <sz val="11"/>
        <color theme="1"/>
        <rFont val="Aptos Narrow"/>
        <family val="2"/>
        <scheme val="minor"/>
      </rPr>
      <t>*</t>
    </r>
  </si>
  <si>
    <t>FL (Miami)</t>
  </si>
  <si>
    <r>
      <t>FL (Miami)</t>
    </r>
    <r>
      <rPr>
        <sz val="11"/>
        <color theme="1"/>
        <rFont val="Aptos Narrow"/>
        <family val="2"/>
        <scheme val="minor"/>
      </rPr>
      <t>*</t>
    </r>
  </si>
  <si>
    <t>FL (Miami)*</t>
  </si>
  <si>
    <r>
      <t xml:space="preserve">   Left layer:</t>
    </r>
    <r>
      <rPr>
        <sz val="11"/>
        <color theme="1"/>
        <rFont val="Aptos Narrow"/>
        <family val="2"/>
        <scheme val="minor"/>
      </rPr>
      <t xml:space="preserve"> South America, Southeast Asia, Europe, ON (Toronto)</t>
    </r>
  </si>
  <si>
    <r>
      <t xml:space="preserve">   Middle layer:</t>
    </r>
    <r>
      <rPr>
        <sz val="11"/>
        <color theme="1"/>
        <rFont val="Aptos Narrow"/>
        <family val="2"/>
        <scheme val="minor"/>
      </rPr>
      <t xml:space="preserve"> ON (Toronto), Vancouver, FL (Miami)</t>
    </r>
  </si>
  <si>
    <r>
      <t xml:space="preserve">   Right layer:</t>
    </r>
    <r>
      <rPr>
        <sz val="11"/>
        <color theme="1"/>
        <rFont val="Aptos Narrow"/>
        <family val="2"/>
        <scheme val="minor"/>
      </rPr>
      <t xml:space="preserve"> Calgary, Winnipeg, Ottawa, Montreal, Halifax, ON (Toronto), Vancouver</t>
    </r>
  </si>
  <si>
    <t>ON (Toronto) HUB</t>
  </si>
  <si>
    <t>FL (Miami) HUB</t>
  </si>
  <si>
    <t>Vancouver HUB</t>
  </si>
  <si>
    <t>ON (Toronto) DEST</t>
  </si>
  <si>
    <t>Vancouver DEST</t>
  </si>
  <si>
    <t>ON (Toronto) ORIGIN</t>
  </si>
  <si>
    <t>ORIGIN to HUB</t>
  </si>
  <si>
    <t>HUB to DEST</t>
  </si>
  <si>
    <t>From Node</t>
  </si>
  <si>
    <t>Arc Type</t>
  </si>
  <si>
    <t>Color</t>
  </si>
  <si>
    <t>Red</t>
  </si>
  <si>
    <t>Orange</t>
  </si>
  <si>
    <t>Network Flow Detail</t>
  </si>
  <si>
    <t>To Node</t>
  </si>
  <si>
    <t>Cost: ON to Destination (Direct)</t>
  </si>
  <si>
    <t>Name</t>
  </si>
  <si>
    <t>Abbreviation</t>
  </si>
  <si>
    <t>SEA</t>
  </si>
  <si>
    <t>ONO</t>
  </si>
  <si>
    <t>ONH</t>
  </si>
  <si>
    <t>MIA</t>
  </si>
  <si>
    <t>CAL</t>
  </si>
  <si>
    <t>WIN</t>
  </si>
  <si>
    <t>OTT</t>
  </si>
  <si>
    <t>HAL</t>
  </si>
  <si>
    <t>OND</t>
  </si>
  <si>
    <t>VAH</t>
  </si>
  <si>
    <t>VAD</t>
  </si>
  <si>
    <t>EUR</t>
  </si>
  <si>
    <t>SAM</t>
  </si>
  <si>
    <t>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</si>
</sst>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2" borderId="1" xfId="0" applyFont="1" applyFill="1" applyBorder="1"/>
    <xf numFmtId="0" fontId="0" fillId="0" borderId="0" xfId="0" applyBorder="1" applyAlignment="1">
      <alignment vertical="center"/>
    </xf>
    <xf numFmtId="3" fontId="0" fillId="0" borderId="0" xfId="0" applyNumberFormat="1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0" fillId="0" borderId="1" xfId="0" applyBorder="1"/>
    <xf numFmtId="0" fontId="2" fillId="0" borderId="0" xfId="0" applyFont="1" applyBorder="1" applyAlignment="1">
      <alignment horizontal="right" vertical="center"/>
    </xf>
    <xf numFmtId="0" fontId="0" fillId="0" borderId="0" xfId="0" applyFont="1"/>
    <xf numFmtId="0" fontId="0" fillId="0" borderId="0" xfId="0" applyBorder="1"/>
    <xf numFmtId="3" fontId="2" fillId="0" borderId="0" xfId="0" applyNumberFormat="1" applyFont="1" applyBorder="1" applyAlignment="1">
      <alignment horizontal="right" vertical="center"/>
    </xf>
    <xf numFmtId="0" fontId="1" fillId="3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3" fontId="1" fillId="9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10" borderId="8" xfId="0" applyFill="1" applyBorder="1" applyAlignment="1">
      <alignment horizontal="center" vertical="center"/>
    </xf>
    <xf numFmtId="0" fontId="4" fillId="11" borderId="1" xfId="0" applyFont="1" applyFill="1" applyBorder="1"/>
    <xf numFmtId="0" fontId="0" fillId="4" borderId="13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404040"/>
      <color rgb="FF482400"/>
      <color rgb="FF5C2E00"/>
      <color rgb="FFF5F5F5"/>
      <color rgb="FFFFFFD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114300</xdr:rowOff>
    </xdr:from>
    <xdr:to>
      <xdr:col>6</xdr:col>
      <xdr:colOff>9525</xdr:colOff>
      <xdr:row>7</xdr:row>
      <xdr:rowOff>133350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38A1A9F-9711-4A52-BE4F-ED1D3B1BD310}"/>
            </a:ext>
          </a:extLst>
        </xdr:cNvPr>
        <xdr:cNvCxnSpPr/>
      </xdr:nvCxnSpPr>
      <xdr:spPr>
        <a:xfrm>
          <a:off x="2295525" y="1066800"/>
          <a:ext cx="1838325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</xdr:row>
      <xdr:rowOff>114300</xdr:rowOff>
    </xdr:from>
    <xdr:to>
      <xdr:col>6</xdr:col>
      <xdr:colOff>0</xdr:colOff>
      <xdr:row>13</xdr:row>
      <xdr:rowOff>142875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75B8DD1-7157-427A-B19B-C36612C7E7F3}"/>
            </a:ext>
          </a:extLst>
        </xdr:cNvPr>
        <xdr:cNvCxnSpPr/>
      </xdr:nvCxnSpPr>
      <xdr:spPr>
        <a:xfrm>
          <a:off x="2295525" y="1066800"/>
          <a:ext cx="1828800" cy="2009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5</xdr:row>
      <xdr:rowOff>133350</xdr:rowOff>
    </xdr:from>
    <xdr:to>
      <xdr:col>6</xdr:col>
      <xdr:colOff>9525</xdr:colOff>
      <xdr:row>19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2EBE706-CCA9-4D16-AE4C-931FFC988E03}"/>
            </a:ext>
          </a:extLst>
        </xdr:cNvPr>
        <xdr:cNvCxnSpPr/>
      </xdr:nvCxnSpPr>
      <xdr:spPr>
        <a:xfrm>
          <a:off x="2314575" y="1085850"/>
          <a:ext cx="1819275" cy="3486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7</xdr:row>
      <xdr:rowOff>152400</xdr:rowOff>
    </xdr:from>
    <xdr:to>
      <xdr:col>6</xdr:col>
      <xdr:colOff>9525</xdr:colOff>
      <xdr:row>11</xdr:row>
      <xdr:rowOff>142875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D428AD5-D0D7-445F-AAF7-F77F2417AA23}"/>
            </a:ext>
          </a:extLst>
        </xdr:cNvPr>
        <xdr:cNvCxnSpPr/>
      </xdr:nvCxnSpPr>
      <xdr:spPr>
        <a:xfrm flipV="1">
          <a:off x="2305050" y="1600200"/>
          <a:ext cx="1828800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11</xdr:row>
      <xdr:rowOff>161925</xdr:rowOff>
    </xdr:from>
    <xdr:to>
      <xdr:col>6</xdr:col>
      <xdr:colOff>9525</xdr:colOff>
      <xdr:row>13</xdr:row>
      <xdr:rowOff>142875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1968AFB-E522-4BB7-AB00-FC14682EAB36}"/>
            </a:ext>
          </a:extLst>
        </xdr:cNvPr>
        <xdr:cNvCxnSpPr/>
      </xdr:nvCxnSpPr>
      <xdr:spPr>
        <a:xfrm>
          <a:off x="2305050" y="2600325"/>
          <a:ext cx="182880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11</xdr:row>
      <xdr:rowOff>171450</xdr:rowOff>
    </xdr:from>
    <xdr:to>
      <xdr:col>6</xdr:col>
      <xdr:colOff>9525</xdr:colOff>
      <xdr:row>19</xdr:row>
      <xdr:rowOff>142875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B8785FB-08AC-4359-B873-777ECE1E6CD2}"/>
            </a:ext>
          </a:extLst>
        </xdr:cNvPr>
        <xdr:cNvCxnSpPr/>
      </xdr:nvCxnSpPr>
      <xdr:spPr>
        <a:xfrm>
          <a:off x="2314575" y="2609850"/>
          <a:ext cx="1819275" cy="1952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7</xdr:row>
      <xdr:rowOff>114300</xdr:rowOff>
    </xdr:from>
    <xdr:to>
      <xdr:col>5</xdr:col>
      <xdr:colOff>600075</xdr:colOff>
      <xdr:row>17</xdr:row>
      <xdr:rowOff>133350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0DD5A85-3AB5-40E8-89BD-3C005307CE12}"/>
            </a:ext>
          </a:extLst>
        </xdr:cNvPr>
        <xdr:cNvCxnSpPr/>
      </xdr:nvCxnSpPr>
      <xdr:spPr>
        <a:xfrm flipV="1">
          <a:off x="2305050" y="1562100"/>
          <a:ext cx="1809750" cy="2495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1066800</xdr:colOff>
      <xdr:row>13</xdr:row>
      <xdr:rowOff>142875</xdr:rowOff>
    </xdr:from>
    <xdr:to>
      <xdr:col>5</xdr:col>
      <xdr:colOff>590550</xdr:colOff>
      <xdr:row>17</xdr:row>
      <xdr:rowOff>133350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EA4AF3E-F230-4ED6-94C9-116157204423}"/>
            </a:ext>
          </a:extLst>
        </xdr:cNvPr>
        <xdr:cNvCxnSpPr/>
      </xdr:nvCxnSpPr>
      <xdr:spPr>
        <a:xfrm flipV="1">
          <a:off x="2286000" y="3076575"/>
          <a:ext cx="1819275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123825</xdr:rowOff>
    </xdr:from>
    <xdr:to>
      <xdr:col>6</xdr:col>
      <xdr:colOff>28575</xdr:colOff>
      <xdr:row>19</xdr:row>
      <xdr:rowOff>142875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EB1693F-C483-4361-8BF4-6DB31B7B2F01}"/>
            </a:ext>
          </a:extLst>
        </xdr:cNvPr>
        <xdr:cNvCxnSpPr/>
      </xdr:nvCxnSpPr>
      <xdr:spPr>
        <a:xfrm>
          <a:off x="2295525" y="4048125"/>
          <a:ext cx="1857375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123825</xdr:rowOff>
    </xdr:from>
    <xdr:to>
      <xdr:col>6</xdr:col>
      <xdr:colOff>0</xdr:colOff>
      <xdr:row>23</xdr:row>
      <xdr:rowOff>133350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BE6C5D7-B2F0-4004-99C8-A9D89754BAD2}"/>
            </a:ext>
          </a:extLst>
        </xdr:cNvPr>
        <xdr:cNvCxnSpPr/>
      </xdr:nvCxnSpPr>
      <xdr:spPr>
        <a:xfrm flipV="1">
          <a:off x="2295525" y="1571625"/>
          <a:ext cx="1828800" cy="3971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123825</xdr:rowOff>
    </xdr:from>
    <xdr:to>
      <xdr:col>6</xdr:col>
      <xdr:colOff>0</xdr:colOff>
      <xdr:row>23</xdr:row>
      <xdr:rowOff>123825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43345B8-0DB2-457E-9E5A-442709CD3C3D}"/>
            </a:ext>
          </a:extLst>
        </xdr:cNvPr>
        <xdr:cNvCxnSpPr/>
      </xdr:nvCxnSpPr>
      <xdr:spPr>
        <a:xfrm flipV="1">
          <a:off x="2295525" y="4543425"/>
          <a:ext cx="1828800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</xdr:row>
      <xdr:rowOff>123825</xdr:rowOff>
    </xdr:from>
    <xdr:to>
      <xdr:col>9</xdr:col>
      <xdr:colOff>600075</xdr:colOff>
      <xdr:row>7</xdr:row>
      <xdr:rowOff>123825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8D7D679-62B5-43EC-8B30-20E25D0F6734}"/>
            </a:ext>
          </a:extLst>
        </xdr:cNvPr>
        <xdr:cNvCxnSpPr/>
      </xdr:nvCxnSpPr>
      <xdr:spPr>
        <a:xfrm flipV="1">
          <a:off x="5200650" y="1076325"/>
          <a:ext cx="1819275" cy="49530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7</xdr:row>
      <xdr:rowOff>142875</xdr:rowOff>
    </xdr:from>
    <xdr:to>
      <xdr:col>10</xdr:col>
      <xdr:colOff>0</xdr:colOff>
      <xdr:row>8</xdr:row>
      <xdr:rowOff>133350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43EAE64-23B3-4111-A07D-506DA2EA836C}"/>
            </a:ext>
          </a:extLst>
        </xdr:cNvPr>
        <xdr:cNvCxnSpPr/>
      </xdr:nvCxnSpPr>
      <xdr:spPr>
        <a:xfrm>
          <a:off x="5210175" y="1590675"/>
          <a:ext cx="1819275" cy="2381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7</xdr:row>
      <xdr:rowOff>152400</xdr:rowOff>
    </xdr:from>
    <xdr:to>
      <xdr:col>10</xdr:col>
      <xdr:colOff>9525</xdr:colOff>
      <xdr:row>11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93EA6AE-4584-4E3C-AC7A-BD72F1849234}"/>
            </a:ext>
          </a:extLst>
        </xdr:cNvPr>
        <xdr:cNvCxnSpPr/>
      </xdr:nvCxnSpPr>
      <xdr:spPr>
        <a:xfrm>
          <a:off x="5210175" y="1600200"/>
          <a:ext cx="1828800" cy="99060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7</xdr:row>
      <xdr:rowOff>142875</xdr:rowOff>
    </xdr:from>
    <xdr:to>
      <xdr:col>10</xdr:col>
      <xdr:colOff>0</xdr:colOff>
      <xdr:row>14</xdr:row>
      <xdr:rowOff>142875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98064A8-9853-4718-A265-2A912708439E}"/>
            </a:ext>
          </a:extLst>
        </xdr:cNvPr>
        <xdr:cNvCxnSpPr/>
      </xdr:nvCxnSpPr>
      <xdr:spPr>
        <a:xfrm>
          <a:off x="5219700" y="1590675"/>
          <a:ext cx="1809750" cy="173355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142875</xdr:rowOff>
    </xdr:from>
    <xdr:to>
      <xdr:col>10</xdr:col>
      <xdr:colOff>0</xdr:colOff>
      <xdr:row>17</xdr:row>
      <xdr:rowOff>152400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FFAED37-DF84-4BE2-A929-1FA1620E7AA5}"/>
            </a:ext>
          </a:extLst>
        </xdr:cNvPr>
        <xdr:cNvCxnSpPr/>
      </xdr:nvCxnSpPr>
      <xdr:spPr>
        <a:xfrm>
          <a:off x="5200650" y="1590675"/>
          <a:ext cx="1828800" cy="24860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142875</xdr:rowOff>
    </xdr:from>
    <xdr:to>
      <xdr:col>10</xdr:col>
      <xdr:colOff>0</xdr:colOff>
      <xdr:row>20</xdr:row>
      <xdr:rowOff>142875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F45DAC8-54B4-4F94-9EBD-33F995239479}"/>
            </a:ext>
          </a:extLst>
        </xdr:cNvPr>
        <xdr:cNvCxnSpPr/>
      </xdr:nvCxnSpPr>
      <xdr:spPr>
        <a:xfrm>
          <a:off x="5200650" y="1590675"/>
          <a:ext cx="1828800" cy="321945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133350</xdr:rowOff>
    </xdr:from>
    <xdr:to>
      <xdr:col>10</xdr:col>
      <xdr:colOff>0</xdr:colOff>
      <xdr:row>23</xdr:row>
      <xdr:rowOff>171450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B1AA3B9-EF63-44DA-AC8E-6474E48D6A39}"/>
            </a:ext>
          </a:extLst>
        </xdr:cNvPr>
        <xdr:cNvCxnSpPr/>
      </xdr:nvCxnSpPr>
      <xdr:spPr>
        <a:xfrm>
          <a:off x="5200650" y="1581150"/>
          <a:ext cx="1828800" cy="400050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5</xdr:row>
      <xdr:rowOff>133350</xdr:rowOff>
    </xdr:from>
    <xdr:to>
      <xdr:col>9</xdr:col>
      <xdr:colOff>600075</xdr:colOff>
      <xdr:row>13</xdr:row>
      <xdr:rowOff>152400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16E7AF2-1DD5-42E8-A323-75AAF785F498}"/>
            </a:ext>
          </a:extLst>
        </xdr:cNvPr>
        <xdr:cNvCxnSpPr/>
      </xdr:nvCxnSpPr>
      <xdr:spPr>
        <a:xfrm flipV="1">
          <a:off x="5210175" y="1085850"/>
          <a:ext cx="1809750" cy="200025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8</xdr:row>
      <xdr:rowOff>133350</xdr:rowOff>
    </xdr:from>
    <xdr:to>
      <xdr:col>10</xdr:col>
      <xdr:colOff>9525</xdr:colOff>
      <xdr:row>13</xdr:row>
      <xdr:rowOff>133350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852556B-8DB4-412E-96BA-FD5114C216AA}"/>
            </a:ext>
          </a:extLst>
        </xdr:cNvPr>
        <xdr:cNvCxnSpPr/>
      </xdr:nvCxnSpPr>
      <xdr:spPr>
        <a:xfrm flipV="1">
          <a:off x="5229225" y="1828800"/>
          <a:ext cx="1809750" cy="123825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11</xdr:row>
      <xdr:rowOff>133350</xdr:rowOff>
    </xdr:from>
    <xdr:to>
      <xdr:col>10</xdr:col>
      <xdr:colOff>0</xdr:colOff>
      <xdr:row>13</xdr:row>
      <xdr:rowOff>142875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C7B882D-8850-481D-979C-D956C5E6920B}"/>
            </a:ext>
          </a:extLst>
        </xdr:cNvPr>
        <xdr:cNvCxnSpPr/>
      </xdr:nvCxnSpPr>
      <xdr:spPr>
        <a:xfrm flipV="1">
          <a:off x="5210175" y="2571750"/>
          <a:ext cx="1819275" cy="5048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133350</xdr:rowOff>
    </xdr:from>
    <xdr:to>
      <xdr:col>10</xdr:col>
      <xdr:colOff>0</xdr:colOff>
      <xdr:row>14</xdr:row>
      <xdr:rowOff>123825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6C37E73-DFE6-4603-ABC3-D4740480E376}"/>
            </a:ext>
          </a:extLst>
        </xdr:cNvPr>
        <xdr:cNvCxnSpPr/>
      </xdr:nvCxnSpPr>
      <xdr:spPr>
        <a:xfrm>
          <a:off x="5200650" y="3067050"/>
          <a:ext cx="1828800" cy="2381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152400</xdr:rowOff>
    </xdr:from>
    <xdr:to>
      <xdr:col>10</xdr:col>
      <xdr:colOff>0</xdr:colOff>
      <xdr:row>17</xdr:row>
      <xdr:rowOff>133350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43744FF-8490-443E-A662-C4607CB7F414}"/>
            </a:ext>
          </a:extLst>
        </xdr:cNvPr>
        <xdr:cNvCxnSpPr/>
      </xdr:nvCxnSpPr>
      <xdr:spPr>
        <a:xfrm>
          <a:off x="5200650" y="3086100"/>
          <a:ext cx="1828800" cy="97155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142875</xdr:rowOff>
    </xdr:from>
    <xdr:to>
      <xdr:col>10</xdr:col>
      <xdr:colOff>0</xdr:colOff>
      <xdr:row>20</xdr:row>
      <xdr:rowOff>152400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11F3A80-F638-4C07-AFC1-FEE0FFF1CDD2}"/>
            </a:ext>
          </a:extLst>
        </xdr:cNvPr>
        <xdr:cNvCxnSpPr/>
      </xdr:nvCxnSpPr>
      <xdr:spPr>
        <a:xfrm>
          <a:off x="5200650" y="3076575"/>
          <a:ext cx="1828800" cy="174307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13</xdr:row>
      <xdr:rowOff>133350</xdr:rowOff>
    </xdr:from>
    <xdr:to>
      <xdr:col>10</xdr:col>
      <xdr:colOff>0</xdr:colOff>
      <xdr:row>23</xdr:row>
      <xdr:rowOff>142875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9CA39A8-2A99-45CA-9C5D-563E3C1FEF43}"/>
            </a:ext>
          </a:extLst>
        </xdr:cNvPr>
        <xdr:cNvCxnSpPr/>
      </xdr:nvCxnSpPr>
      <xdr:spPr>
        <a:xfrm>
          <a:off x="5219700" y="3067050"/>
          <a:ext cx="1809750" cy="24860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5</xdr:row>
      <xdr:rowOff>123825</xdr:rowOff>
    </xdr:from>
    <xdr:to>
      <xdr:col>9</xdr:col>
      <xdr:colOff>600075</xdr:colOff>
      <xdr:row>19</xdr:row>
      <xdr:rowOff>133350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A85D595-6453-4D96-8C0D-5B8D6FF87FB6}"/>
            </a:ext>
          </a:extLst>
        </xdr:cNvPr>
        <xdr:cNvCxnSpPr/>
      </xdr:nvCxnSpPr>
      <xdr:spPr>
        <a:xfrm flipV="1">
          <a:off x="5210175" y="1076325"/>
          <a:ext cx="1809750" cy="34766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8</xdr:row>
      <xdr:rowOff>142875</xdr:rowOff>
    </xdr:from>
    <xdr:to>
      <xdr:col>10</xdr:col>
      <xdr:colOff>19050</xdr:colOff>
      <xdr:row>19</xdr:row>
      <xdr:rowOff>133350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3DEFEE9D-B792-4A8C-8000-E6F41D4DFDE5}"/>
            </a:ext>
          </a:extLst>
        </xdr:cNvPr>
        <xdr:cNvCxnSpPr/>
      </xdr:nvCxnSpPr>
      <xdr:spPr>
        <a:xfrm flipV="1">
          <a:off x="5210175" y="1838325"/>
          <a:ext cx="1838325" cy="27146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11</xdr:row>
      <xdr:rowOff>133350</xdr:rowOff>
    </xdr:from>
    <xdr:to>
      <xdr:col>10</xdr:col>
      <xdr:colOff>0</xdr:colOff>
      <xdr:row>19</xdr:row>
      <xdr:rowOff>133350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75F5031-222E-4933-BCF7-84DF13E6D991}"/>
            </a:ext>
          </a:extLst>
        </xdr:cNvPr>
        <xdr:cNvCxnSpPr/>
      </xdr:nvCxnSpPr>
      <xdr:spPr>
        <a:xfrm flipV="1">
          <a:off x="5210175" y="2571750"/>
          <a:ext cx="1819275" cy="198120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14</xdr:row>
      <xdr:rowOff>133350</xdr:rowOff>
    </xdr:from>
    <xdr:to>
      <xdr:col>9</xdr:col>
      <xdr:colOff>600075</xdr:colOff>
      <xdr:row>19</xdr:row>
      <xdr:rowOff>123825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F60BF35-1247-4048-A105-C5AB1929BFB8}"/>
            </a:ext>
          </a:extLst>
        </xdr:cNvPr>
        <xdr:cNvCxnSpPr/>
      </xdr:nvCxnSpPr>
      <xdr:spPr>
        <a:xfrm flipV="1">
          <a:off x="5210175" y="3314700"/>
          <a:ext cx="1809750" cy="12287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17</xdr:row>
      <xdr:rowOff>133350</xdr:rowOff>
    </xdr:from>
    <xdr:to>
      <xdr:col>10</xdr:col>
      <xdr:colOff>0</xdr:colOff>
      <xdr:row>19</xdr:row>
      <xdr:rowOff>123825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A11A76C9-1149-44C9-822F-B32D1D345551}"/>
            </a:ext>
          </a:extLst>
        </xdr:cNvPr>
        <xdr:cNvCxnSpPr/>
      </xdr:nvCxnSpPr>
      <xdr:spPr>
        <a:xfrm flipV="1">
          <a:off x="5219700" y="4057650"/>
          <a:ext cx="1809750" cy="48577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19</xdr:row>
      <xdr:rowOff>123825</xdr:rowOff>
    </xdr:from>
    <xdr:to>
      <xdr:col>10</xdr:col>
      <xdr:colOff>9525</xdr:colOff>
      <xdr:row>20</xdr:row>
      <xdr:rowOff>123825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1558C17-C57F-4D35-9169-B8C71BD1AA51}"/>
            </a:ext>
          </a:extLst>
        </xdr:cNvPr>
        <xdr:cNvCxnSpPr/>
      </xdr:nvCxnSpPr>
      <xdr:spPr>
        <a:xfrm>
          <a:off x="5210175" y="4543425"/>
          <a:ext cx="1828800" cy="247650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10583</xdr:colOff>
      <xdr:row>19</xdr:row>
      <xdr:rowOff>116417</xdr:rowOff>
    </xdr:from>
    <xdr:to>
      <xdr:col>10</xdr:col>
      <xdr:colOff>0</xdr:colOff>
      <xdr:row>23</xdr:row>
      <xdr:rowOff>142875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5F1BE343-3F4E-424C-9249-E51F1ED3F286}"/>
            </a:ext>
          </a:extLst>
        </xdr:cNvPr>
        <xdr:cNvCxnSpPr/>
      </xdr:nvCxnSpPr>
      <xdr:spPr>
        <a:xfrm>
          <a:off x="5238750" y="4339167"/>
          <a:ext cx="1830917" cy="1000125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1067858</xdr:colOff>
      <xdr:row>13</xdr:row>
      <xdr:rowOff>116417</xdr:rowOff>
    </xdr:from>
    <xdr:to>
      <xdr:col>6</xdr:col>
      <xdr:colOff>0</xdr:colOff>
      <xdr:row>23</xdr:row>
      <xdr:rowOff>140758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6BDFD2A3-4056-4C12-95EA-5F09B24BCB85}"/>
            </a:ext>
          </a:extLst>
        </xdr:cNvPr>
        <xdr:cNvCxnSpPr/>
      </xdr:nvCxnSpPr>
      <xdr:spPr>
        <a:xfrm flipV="1">
          <a:off x="2295525" y="2973917"/>
          <a:ext cx="1853142" cy="2458508"/>
        </a:xfrm>
        <a:prstGeom prst="straightConnector1">
          <a:avLst/>
        </a:prstGeom>
        <a:ln>
          <a:prstDash val="lg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25A1-F3A9-4414-ACD4-C1063FD27228}">
  <dimension ref="A2:Q65"/>
  <sheetViews>
    <sheetView showGridLines="0" tabSelected="1" zoomScale="90" zoomScaleNormal="90" workbookViewId="0">
      <selection activeCell="B4" sqref="B4"/>
    </sheetView>
  </sheetViews>
  <sheetFormatPr defaultRowHeight="15" x14ac:dyDescent="0.25"/>
  <cols>
    <col min="1" max="1" width="9.140625" style="2"/>
    <col min="2" max="2" width="9.140625" style="2" customWidth="1"/>
    <col min="3" max="3" width="16.140625" style="2" customWidth="1"/>
    <col min="4" max="6" width="9.140625" style="2"/>
    <col min="7" max="7" width="16.140625" style="2" customWidth="1"/>
    <col min="8" max="10" width="9.140625" style="2"/>
    <col min="11" max="11" width="16.140625" style="2" customWidth="1"/>
    <col min="12" max="13" width="9.140625" style="2"/>
    <col min="14" max="14" width="13.85546875" style="44" bestFit="1" customWidth="1"/>
    <col min="15" max="15" width="19.7109375" style="44" bestFit="1" customWidth="1"/>
    <col min="16" max="16" width="17.5703125" style="44" bestFit="1" customWidth="1"/>
    <col min="17" max="17" width="16.85546875" style="44" bestFit="1" customWidth="1"/>
    <col min="18" max="20" width="9.140625" style="44"/>
    <col min="21" max="21" width="19.7109375" style="44" bestFit="1" customWidth="1"/>
    <col min="22" max="16384" width="9.140625" style="44"/>
  </cols>
  <sheetData>
    <row r="2" spans="2:17" x14ac:dyDescent="0.25">
      <c r="B2" s="59" t="s">
        <v>34</v>
      </c>
      <c r="N2" s="59" t="s">
        <v>60</v>
      </c>
    </row>
    <row r="3" spans="2:17" ht="7.5" customHeight="1" x14ac:dyDescent="0.25">
      <c r="B3" s="59"/>
    </row>
    <row r="4" spans="2:17" x14ac:dyDescent="0.25">
      <c r="B4" s="33"/>
      <c r="C4" s="34" t="s">
        <v>35</v>
      </c>
      <c r="D4" s="35"/>
      <c r="F4" s="33"/>
      <c r="G4" s="34" t="s">
        <v>36</v>
      </c>
      <c r="H4" s="35"/>
      <c r="J4" s="33"/>
      <c r="K4" s="34" t="s">
        <v>37</v>
      </c>
      <c r="L4" s="48"/>
      <c r="N4" s="49" t="s">
        <v>56</v>
      </c>
      <c r="O4" s="49" t="s">
        <v>55</v>
      </c>
      <c r="P4" s="49" t="s">
        <v>61</v>
      </c>
      <c r="Q4" s="49" t="s">
        <v>57</v>
      </c>
    </row>
    <row r="5" spans="2:17" ht="20.100000000000001" customHeight="1" x14ac:dyDescent="0.25">
      <c r="B5" s="36"/>
      <c r="C5" s="37"/>
      <c r="D5" s="38"/>
      <c r="F5" s="36"/>
      <c r="G5" s="37"/>
      <c r="H5" s="38"/>
      <c r="J5" s="36"/>
      <c r="K5" s="37"/>
      <c r="L5" s="38"/>
      <c r="N5" s="60" t="s">
        <v>53</v>
      </c>
      <c r="O5" s="50" t="s">
        <v>6</v>
      </c>
      <c r="P5" s="53" t="s">
        <v>47</v>
      </c>
      <c r="Q5" s="45" t="s">
        <v>59</v>
      </c>
    </row>
    <row r="6" spans="2:17" ht="20.100000000000001" customHeight="1" x14ac:dyDescent="0.25">
      <c r="B6" s="36"/>
      <c r="C6" s="30" t="s">
        <v>6</v>
      </c>
      <c r="D6" s="38"/>
      <c r="F6" s="36"/>
      <c r="G6" s="37"/>
      <c r="H6" s="38"/>
      <c r="J6" s="36"/>
      <c r="K6" s="32" t="s">
        <v>12</v>
      </c>
      <c r="L6" s="38"/>
      <c r="N6" s="61"/>
      <c r="O6" s="51" t="s">
        <v>6</v>
      </c>
      <c r="P6" s="54" t="s">
        <v>48</v>
      </c>
      <c r="Q6" s="46" t="s">
        <v>59</v>
      </c>
    </row>
    <row r="7" spans="2:17" ht="20.100000000000001" customHeight="1" x14ac:dyDescent="0.25">
      <c r="B7" s="36"/>
      <c r="C7" s="43">
        <v>1050</v>
      </c>
      <c r="D7" s="38"/>
      <c r="F7" s="36"/>
      <c r="G7" s="37"/>
      <c r="H7" s="38"/>
      <c r="J7" s="36"/>
      <c r="K7" s="41">
        <v>171</v>
      </c>
      <c r="L7" s="38"/>
      <c r="N7" s="61"/>
      <c r="O7" s="51" t="s">
        <v>6</v>
      </c>
      <c r="P7" s="54" t="s">
        <v>49</v>
      </c>
      <c r="Q7" s="46" t="s">
        <v>59</v>
      </c>
    </row>
    <row r="8" spans="2:17" ht="20.100000000000001" customHeight="1" x14ac:dyDescent="0.25">
      <c r="B8" s="36"/>
      <c r="C8" s="41"/>
      <c r="D8" s="38"/>
      <c r="F8" s="36"/>
      <c r="G8" s="31" t="s">
        <v>39</v>
      </c>
      <c r="H8" s="38"/>
      <c r="J8" s="36"/>
      <c r="K8" s="41"/>
      <c r="L8" s="38"/>
      <c r="N8" s="61"/>
      <c r="O8" s="51" t="s">
        <v>7</v>
      </c>
      <c r="P8" s="54" t="s">
        <v>47</v>
      </c>
      <c r="Q8" s="46" t="s">
        <v>59</v>
      </c>
    </row>
    <row r="9" spans="2:17" ht="20.100000000000001" customHeight="1" x14ac:dyDescent="0.25">
      <c r="B9" s="36"/>
      <c r="C9" s="41"/>
      <c r="D9" s="38"/>
      <c r="F9" s="36"/>
      <c r="G9" s="41"/>
      <c r="H9" s="38"/>
      <c r="J9" s="36"/>
      <c r="K9" s="32" t="s">
        <v>13</v>
      </c>
      <c r="L9" s="38"/>
      <c r="N9" s="61"/>
      <c r="O9" s="51" t="s">
        <v>7</v>
      </c>
      <c r="P9" s="54" t="s">
        <v>48</v>
      </c>
      <c r="Q9" s="46" t="s">
        <v>59</v>
      </c>
    </row>
    <row r="10" spans="2:17" ht="20.100000000000001" customHeight="1" x14ac:dyDescent="0.25">
      <c r="B10" s="36"/>
      <c r="C10" s="41"/>
      <c r="D10" s="38"/>
      <c r="F10" s="36"/>
      <c r="G10" s="41"/>
      <c r="H10" s="38"/>
      <c r="J10" s="36"/>
      <c r="K10" s="41">
        <v>64</v>
      </c>
      <c r="L10" s="38"/>
      <c r="N10" s="61"/>
      <c r="O10" s="51" t="s">
        <v>7</v>
      </c>
      <c r="P10" s="54" t="s">
        <v>49</v>
      </c>
      <c r="Q10" s="46" t="s">
        <v>59</v>
      </c>
    </row>
    <row r="11" spans="2:17" ht="20.100000000000001" customHeight="1" x14ac:dyDescent="0.25">
      <c r="B11" s="36"/>
      <c r="C11" s="41"/>
      <c r="D11" s="38"/>
      <c r="F11" s="36"/>
      <c r="G11" s="41"/>
      <c r="H11" s="38"/>
      <c r="J11" s="36"/>
      <c r="K11" s="41"/>
      <c r="L11" s="38"/>
      <c r="N11" s="61"/>
      <c r="O11" s="51" t="s">
        <v>9</v>
      </c>
      <c r="P11" s="54" t="s">
        <v>47</v>
      </c>
      <c r="Q11" s="46" t="s">
        <v>59</v>
      </c>
    </row>
    <row r="12" spans="2:17" ht="20.100000000000001" customHeight="1" x14ac:dyDescent="0.25">
      <c r="B12" s="36"/>
      <c r="C12" s="30" t="s">
        <v>7</v>
      </c>
      <c r="D12" s="38"/>
      <c r="F12" s="36"/>
      <c r="G12" s="41"/>
      <c r="H12" s="38"/>
      <c r="J12" s="36"/>
      <c r="K12" s="32" t="s">
        <v>14</v>
      </c>
      <c r="L12" s="38"/>
      <c r="N12" s="61"/>
      <c r="O12" s="51" t="s">
        <v>9</v>
      </c>
      <c r="P12" s="54" t="s">
        <v>48</v>
      </c>
      <c r="Q12" s="46" t="s">
        <v>59</v>
      </c>
    </row>
    <row r="13" spans="2:17" ht="20.100000000000001" customHeight="1" x14ac:dyDescent="0.25">
      <c r="B13" s="36"/>
      <c r="C13" s="41">
        <v>30</v>
      </c>
      <c r="D13" s="38"/>
      <c r="F13" s="36"/>
      <c r="G13" s="41"/>
      <c r="H13" s="38"/>
      <c r="J13" s="36"/>
      <c r="K13" s="41">
        <v>127</v>
      </c>
      <c r="L13" s="38"/>
      <c r="N13" s="61"/>
      <c r="O13" s="51" t="s">
        <v>9</v>
      </c>
      <c r="P13" s="54" t="s">
        <v>49</v>
      </c>
      <c r="Q13" s="46" t="s">
        <v>59</v>
      </c>
    </row>
    <row r="14" spans="2:17" ht="20.100000000000001" customHeight="1" x14ac:dyDescent="0.25">
      <c r="B14" s="36"/>
      <c r="C14" s="41"/>
      <c r="D14" s="38"/>
      <c r="F14" s="36"/>
      <c r="G14" s="31" t="s">
        <v>41</v>
      </c>
      <c r="H14" s="38"/>
      <c r="J14" s="36"/>
      <c r="K14" s="41"/>
      <c r="L14" s="38"/>
      <c r="N14" s="61"/>
      <c r="O14" s="51" t="s">
        <v>52</v>
      </c>
      <c r="P14" s="54" t="s">
        <v>47</v>
      </c>
      <c r="Q14" s="46" t="s">
        <v>59</v>
      </c>
    </row>
    <row r="15" spans="2:17" ht="20.100000000000001" customHeight="1" x14ac:dyDescent="0.25">
      <c r="B15" s="36"/>
      <c r="C15" s="41"/>
      <c r="D15" s="38"/>
      <c r="F15" s="36"/>
      <c r="G15" s="41"/>
      <c r="H15" s="38"/>
      <c r="J15" s="36"/>
      <c r="K15" s="32" t="s">
        <v>15</v>
      </c>
      <c r="L15" s="38"/>
      <c r="N15" s="61"/>
      <c r="O15" s="51" t="s">
        <v>52</v>
      </c>
      <c r="P15" s="54" t="s">
        <v>48</v>
      </c>
      <c r="Q15" s="46" t="s">
        <v>59</v>
      </c>
    </row>
    <row r="16" spans="2:17" ht="20.100000000000001" customHeight="1" x14ac:dyDescent="0.25">
      <c r="B16" s="36"/>
      <c r="C16" s="41"/>
      <c r="D16" s="38"/>
      <c r="F16" s="36"/>
      <c r="G16" s="41"/>
      <c r="H16" s="38"/>
      <c r="J16" s="36"/>
      <c r="K16" s="41">
        <v>184</v>
      </c>
      <c r="L16" s="38"/>
      <c r="N16" s="62"/>
      <c r="O16" s="52" t="s">
        <v>52</v>
      </c>
      <c r="P16" s="55" t="s">
        <v>49</v>
      </c>
      <c r="Q16" s="47" t="s">
        <v>59</v>
      </c>
    </row>
    <row r="17" spans="1:17" ht="20.100000000000001" customHeight="1" x14ac:dyDescent="0.25">
      <c r="B17" s="36"/>
      <c r="C17" s="41"/>
      <c r="D17" s="38"/>
      <c r="F17" s="36"/>
      <c r="G17" s="41"/>
      <c r="H17" s="38"/>
      <c r="J17" s="36"/>
      <c r="K17" s="41"/>
      <c r="L17" s="38"/>
      <c r="N17" s="60" t="s">
        <v>54</v>
      </c>
      <c r="O17" s="53" t="s">
        <v>47</v>
      </c>
      <c r="P17" s="56" t="s">
        <v>12</v>
      </c>
      <c r="Q17" s="45" t="s">
        <v>58</v>
      </c>
    </row>
    <row r="18" spans="1:17" ht="20.100000000000001" customHeight="1" x14ac:dyDescent="0.25">
      <c r="B18" s="36"/>
      <c r="C18" s="30" t="s">
        <v>9</v>
      </c>
      <c r="D18" s="38"/>
      <c r="F18" s="36"/>
      <c r="G18" s="41"/>
      <c r="H18" s="38"/>
      <c r="J18" s="36"/>
      <c r="K18" s="32" t="s">
        <v>16</v>
      </c>
      <c r="L18" s="38"/>
      <c r="N18" s="61"/>
      <c r="O18" s="54" t="s">
        <v>47</v>
      </c>
      <c r="P18" s="57" t="s">
        <v>13</v>
      </c>
      <c r="Q18" s="46" t="s">
        <v>58</v>
      </c>
    </row>
    <row r="19" spans="1:17" ht="20.100000000000001" customHeight="1" x14ac:dyDescent="0.25">
      <c r="B19" s="36"/>
      <c r="C19" s="41" t="s">
        <v>38</v>
      </c>
      <c r="D19" s="38"/>
      <c r="F19" s="36"/>
      <c r="G19" s="41"/>
      <c r="H19" s="38"/>
      <c r="J19" s="36"/>
      <c r="K19" s="41">
        <v>64</v>
      </c>
      <c r="L19" s="38"/>
      <c r="N19" s="61"/>
      <c r="O19" s="54" t="s">
        <v>47</v>
      </c>
      <c r="P19" s="57" t="s">
        <v>14</v>
      </c>
      <c r="Q19" s="46" t="s">
        <v>58</v>
      </c>
    </row>
    <row r="20" spans="1:17" ht="20.100000000000001" customHeight="1" x14ac:dyDescent="0.25">
      <c r="B20" s="36"/>
      <c r="C20" s="41"/>
      <c r="D20" s="38"/>
      <c r="F20" s="36"/>
      <c r="G20" s="31" t="s">
        <v>21</v>
      </c>
      <c r="H20" s="38"/>
      <c r="J20" s="36"/>
      <c r="K20" s="41"/>
      <c r="L20" s="38"/>
      <c r="N20" s="61"/>
      <c r="O20" s="54" t="s">
        <v>47</v>
      </c>
      <c r="P20" s="57" t="s">
        <v>15</v>
      </c>
      <c r="Q20" s="46" t="s">
        <v>58</v>
      </c>
    </row>
    <row r="21" spans="1:17" ht="20.100000000000001" customHeight="1" x14ac:dyDescent="0.25">
      <c r="B21" s="36"/>
      <c r="C21" s="41"/>
      <c r="D21" s="38"/>
      <c r="F21" s="36"/>
      <c r="G21" s="37"/>
      <c r="H21" s="38"/>
      <c r="J21" s="36"/>
      <c r="K21" s="32" t="s">
        <v>39</v>
      </c>
      <c r="L21" s="38"/>
      <c r="N21" s="61"/>
      <c r="O21" s="54" t="s">
        <v>47</v>
      </c>
      <c r="P21" s="57" t="s">
        <v>16</v>
      </c>
      <c r="Q21" s="46" t="s">
        <v>58</v>
      </c>
    </row>
    <row r="22" spans="1:17" ht="20.100000000000001" customHeight="1" x14ac:dyDescent="0.25">
      <c r="B22" s="36"/>
      <c r="C22" s="41"/>
      <c r="D22" s="38"/>
      <c r="F22" s="36"/>
      <c r="G22" s="37"/>
      <c r="H22" s="38"/>
      <c r="J22" s="36"/>
      <c r="K22" s="41">
        <v>381</v>
      </c>
      <c r="L22" s="38"/>
      <c r="N22" s="61"/>
      <c r="O22" s="54" t="s">
        <v>47</v>
      </c>
      <c r="P22" s="57" t="s">
        <v>50</v>
      </c>
      <c r="Q22" s="46" t="s">
        <v>58</v>
      </c>
    </row>
    <row r="23" spans="1:17" ht="20.100000000000001" customHeight="1" x14ac:dyDescent="0.25">
      <c r="B23" s="36"/>
      <c r="C23" s="41"/>
      <c r="D23" s="38"/>
      <c r="F23" s="36"/>
      <c r="G23" s="37"/>
      <c r="H23" s="38"/>
      <c r="J23" s="36"/>
      <c r="K23" s="41"/>
      <c r="L23" s="38"/>
      <c r="N23" s="61"/>
      <c r="O23" s="54" t="s">
        <v>47</v>
      </c>
      <c r="P23" s="57" t="s">
        <v>51</v>
      </c>
      <c r="Q23" s="46" t="s">
        <v>58</v>
      </c>
    </row>
    <row r="24" spans="1:17" ht="20.100000000000001" customHeight="1" x14ac:dyDescent="0.25">
      <c r="B24" s="36"/>
      <c r="C24" s="30" t="s">
        <v>39</v>
      </c>
      <c r="D24" s="38"/>
      <c r="F24" s="36"/>
      <c r="G24" s="37"/>
      <c r="H24" s="38"/>
      <c r="J24" s="36"/>
      <c r="K24" s="32" t="s">
        <v>21</v>
      </c>
      <c r="L24" s="38"/>
      <c r="N24" s="61"/>
      <c r="O24" s="54" t="s">
        <v>48</v>
      </c>
      <c r="P24" s="57" t="s">
        <v>12</v>
      </c>
      <c r="Q24" s="46" t="s">
        <v>58</v>
      </c>
    </row>
    <row r="25" spans="1:17" ht="20.100000000000001" customHeight="1" x14ac:dyDescent="0.25">
      <c r="B25" s="36"/>
      <c r="C25" s="41">
        <v>100</v>
      </c>
      <c r="D25" s="38"/>
      <c r="F25" s="36"/>
      <c r="G25" s="37"/>
      <c r="H25" s="38"/>
      <c r="J25" s="36"/>
      <c r="K25" s="41">
        <v>191</v>
      </c>
      <c r="L25" s="38"/>
      <c r="N25" s="61"/>
      <c r="O25" s="54" t="s">
        <v>48</v>
      </c>
      <c r="P25" s="57" t="s">
        <v>13</v>
      </c>
      <c r="Q25" s="46" t="s">
        <v>58</v>
      </c>
    </row>
    <row r="26" spans="1:17" ht="20.100000000000001" customHeight="1" x14ac:dyDescent="0.25">
      <c r="B26" s="39"/>
      <c r="C26" s="42"/>
      <c r="D26" s="40"/>
      <c r="F26" s="39"/>
      <c r="G26" s="42"/>
      <c r="H26" s="40"/>
      <c r="J26" s="39"/>
      <c r="K26" s="42"/>
      <c r="L26" s="40"/>
      <c r="N26" s="61"/>
      <c r="O26" s="54" t="s">
        <v>48</v>
      </c>
      <c r="P26" s="57" t="s">
        <v>14</v>
      </c>
      <c r="Q26" s="46" t="s">
        <v>58</v>
      </c>
    </row>
    <row r="27" spans="1:17" ht="20.100000000000001" customHeight="1" x14ac:dyDescent="0.25">
      <c r="N27" s="61"/>
      <c r="O27" s="54" t="s">
        <v>48</v>
      </c>
      <c r="P27" s="57" t="s">
        <v>15</v>
      </c>
      <c r="Q27" s="46" t="s">
        <v>58</v>
      </c>
    </row>
    <row r="28" spans="1:17" ht="20.100000000000001" customHeight="1" x14ac:dyDescent="0.25">
      <c r="N28" s="61"/>
      <c r="O28" s="54" t="s">
        <v>48</v>
      </c>
      <c r="P28" s="57" t="s">
        <v>16</v>
      </c>
      <c r="Q28" s="46" t="s">
        <v>58</v>
      </c>
    </row>
    <row r="29" spans="1:17" ht="20.100000000000001" customHeight="1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61"/>
      <c r="O29" s="54" t="s">
        <v>48</v>
      </c>
      <c r="P29" s="57" t="s">
        <v>50</v>
      </c>
      <c r="Q29" s="46" t="s">
        <v>58</v>
      </c>
    </row>
    <row r="30" spans="1:17" ht="20.100000000000001" customHeight="1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61"/>
      <c r="O30" s="54" t="s">
        <v>48</v>
      </c>
      <c r="P30" s="57" t="s">
        <v>51</v>
      </c>
      <c r="Q30" s="46" t="s">
        <v>58</v>
      </c>
    </row>
    <row r="31" spans="1:17" ht="20.100000000000001" customHeight="1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61"/>
      <c r="O31" s="54" t="s">
        <v>49</v>
      </c>
      <c r="P31" s="57" t="s">
        <v>12</v>
      </c>
      <c r="Q31" s="46" t="s">
        <v>58</v>
      </c>
    </row>
    <row r="32" spans="1:17" ht="20.100000000000001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61"/>
      <c r="O32" s="54" t="s">
        <v>49</v>
      </c>
      <c r="P32" s="57" t="s">
        <v>13</v>
      </c>
      <c r="Q32" s="46" t="s">
        <v>58</v>
      </c>
    </row>
    <row r="33" spans="1:17" ht="20.100000000000001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61"/>
      <c r="O33" s="54" t="s">
        <v>49</v>
      </c>
      <c r="P33" s="57" t="s">
        <v>14</v>
      </c>
      <c r="Q33" s="46" t="s">
        <v>58</v>
      </c>
    </row>
    <row r="34" spans="1:17" ht="20.100000000000001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61"/>
      <c r="O34" s="54" t="s">
        <v>49</v>
      </c>
      <c r="P34" s="57" t="s">
        <v>15</v>
      </c>
      <c r="Q34" s="46" t="s">
        <v>58</v>
      </c>
    </row>
    <row r="35" spans="1:17" ht="20.100000000000001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61"/>
      <c r="O35" s="54" t="s">
        <v>49</v>
      </c>
      <c r="P35" s="57" t="s">
        <v>16</v>
      </c>
      <c r="Q35" s="46" t="s">
        <v>58</v>
      </c>
    </row>
    <row r="36" spans="1:17" ht="20.100000000000001" customHeight="1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61"/>
      <c r="O36" s="54" t="s">
        <v>49</v>
      </c>
      <c r="P36" s="57" t="s">
        <v>50</v>
      </c>
      <c r="Q36" s="46" t="s">
        <v>58</v>
      </c>
    </row>
    <row r="37" spans="1:17" ht="20.100000000000001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62"/>
      <c r="O37" s="55" t="s">
        <v>49</v>
      </c>
      <c r="P37" s="58" t="s">
        <v>51</v>
      </c>
      <c r="Q37" s="47" t="s">
        <v>58</v>
      </c>
    </row>
    <row r="38" spans="1:17" ht="20.100000000000001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1:17" ht="20.100000000000001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  <row r="40" spans="1:17" ht="20.100000000000001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</row>
    <row r="41" spans="1:17" ht="20.100000000000001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</row>
    <row r="42" spans="1:17" ht="20.100000000000001" customHeight="1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</row>
    <row r="43" spans="1:17" ht="20.100000000000001" customHeight="1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</row>
    <row r="44" spans="1:17" ht="20.100000000000001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</row>
    <row r="45" spans="1:17" ht="20.100000000000001" customHeight="1" x14ac:dyDescent="0.25"/>
    <row r="46" spans="1:17" ht="20.100000000000001" customHeight="1" x14ac:dyDescent="0.25"/>
    <row r="47" spans="1:17" ht="20.100000000000001" customHeight="1" x14ac:dyDescent="0.25"/>
    <row r="48" spans="1:17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</sheetData>
  <mergeCells count="2">
    <mergeCell ref="N5:N16"/>
    <mergeCell ref="N17:N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D435-6385-4C91-9986-6D7CF5E00D96}">
  <dimension ref="B3:N30"/>
  <sheetViews>
    <sheetView showGridLines="0" workbookViewId="0">
      <selection activeCell="B4" sqref="B4"/>
    </sheetView>
  </sheetViews>
  <sheetFormatPr defaultRowHeight="15" x14ac:dyDescent="0.25"/>
  <cols>
    <col min="2" max="2" width="17.7109375" bestFit="1" customWidth="1"/>
    <col min="3" max="3" width="21.85546875" bestFit="1" customWidth="1"/>
    <col min="4" max="4" width="8.5703125" bestFit="1" customWidth="1"/>
    <col min="5" max="5" width="8.5703125" customWidth="1"/>
    <col min="6" max="6" width="11" customWidth="1"/>
    <col min="7" max="7" width="14.42578125" bestFit="1" customWidth="1"/>
    <col min="8" max="14" width="12.42578125" customWidth="1"/>
    <col min="15" max="15" width="11.140625" customWidth="1"/>
    <col min="16" max="16" width="15.5703125" bestFit="1" customWidth="1"/>
    <col min="17" max="17" width="11.42578125" bestFit="1" customWidth="1"/>
    <col min="18" max="18" width="7.7109375" bestFit="1" customWidth="1"/>
    <col min="19" max="19" width="9.5703125" bestFit="1" customWidth="1"/>
    <col min="20" max="20" width="7.28515625" bestFit="1" customWidth="1"/>
    <col min="21" max="21" width="9" bestFit="1" customWidth="1"/>
    <col min="22" max="22" width="7.28515625" bestFit="1" customWidth="1"/>
  </cols>
  <sheetData>
    <row r="3" spans="2:14" x14ac:dyDescent="0.25">
      <c r="H3" s="1" t="s">
        <v>25</v>
      </c>
    </row>
    <row r="4" spans="2:14" x14ac:dyDescent="0.25">
      <c r="B4" s="18" t="s">
        <v>0</v>
      </c>
      <c r="C4" s="18" t="s">
        <v>18</v>
      </c>
      <c r="D4" s="18" t="s">
        <v>1</v>
      </c>
      <c r="E4" s="7"/>
      <c r="G4" s="1"/>
      <c r="H4" s="63" t="s">
        <v>5</v>
      </c>
      <c r="I4" s="64"/>
      <c r="J4" s="65"/>
    </row>
    <row r="5" spans="2:14" x14ac:dyDescent="0.25">
      <c r="B5" s="3" t="s">
        <v>6</v>
      </c>
      <c r="C5" s="3" t="s">
        <v>19</v>
      </c>
      <c r="D5" s="4">
        <v>1050</v>
      </c>
      <c r="E5" s="8"/>
      <c r="F5" s="8"/>
      <c r="G5" s="6" t="s">
        <v>4</v>
      </c>
      <c r="H5" s="20" t="s">
        <v>39</v>
      </c>
      <c r="I5" s="20" t="s">
        <v>41</v>
      </c>
      <c r="J5" s="20" t="s">
        <v>21</v>
      </c>
    </row>
    <row r="6" spans="2:14" ht="15" customHeight="1" x14ac:dyDescent="0.25">
      <c r="B6" s="3" t="s">
        <v>7</v>
      </c>
      <c r="C6" s="3" t="s">
        <v>19</v>
      </c>
      <c r="D6" s="3">
        <v>30</v>
      </c>
      <c r="E6" s="7"/>
      <c r="F6" s="7"/>
      <c r="G6" s="19" t="s">
        <v>6</v>
      </c>
      <c r="H6" s="11">
        <v>14</v>
      </c>
      <c r="I6" s="11">
        <v>9</v>
      </c>
      <c r="J6" s="11">
        <v>20</v>
      </c>
    </row>
    <row r="7" spans="2:14" x14ac:dyDescent="0.25">
      <c r="B7" s="3" t="s">
        <v>9</v>
      </c>
      <c r="C7" s="3" t="s">
        <v>19</v>
      </c>
      <c r="D7" s="5" t="s">
        <v>8</v>
      </c>
      <c r="E7" s="9"/>
      <c r="F7" s="9"/>
      <c r="G7" s="19" t="s">
        <v>7</v>
      </c>
      <c r="H7" s="11">
        <v>35</v>
      </c>
      <c r="I7" s="11">
        <v>20</v>
      </c>
      <c r="J7" s="11">
        <v>35</v>
      </c>
    </row>
    <row r="8" spans="2:14" x14ac:dyDescent="0.25">
      <c r="B8" s="28" t="s">
        <v>39</v>
      </c>
      <c r="C8" s="28" t="s">
        <v>24</v>
      </c>
      <c r="D8" s="11">
        <v>100</v>
      </c>
      <c r="E8" s="14"/>
      <c r="F8" s="9"/>
      <c r="G8" s="19" t="s">
        <v>9</v>
      </c>
      <c r="H8" s="11">
        <v>30</v>
      </c>
      <c r="I8" s="11">
        <v>15</v>
      </c>
      <c r="J8" s="11">
        <v>35</v>
      </c>
    </row>
    <row r="9" spans="2:14" x14ac:dyDescent="0.25">
      <c r="B9" s="10" t="s">
        <v>10</v>
      </c>
      <c r="C9" s="10"/>
      <c r="D9" s="12" t="s">
        <v>8</v>
      </c>
      <c r="E9" s="12"/>
      <c r="F9" s="12"/>
      <c r="G9" s="19" t="s">
        <v>39</v>
      </c>
      <c r="H9" s="29">
        <v>0</v>
      </c>
      <c r="I9" s="67">
        <v>10000</v>
      </c>
      <c r="J9" s="29">
        <v>15</v>
      </c>
    </row>
    <row r="11" spans="2:14" x14ac:dyDescent="0.25">
      <c r="B11" s="17" t="s">
        <v>2</v>
      </c>
      <c r="C11" s="17" t="s">
        <v>18</v>
      </c>
      <c r="D11" s="17" t="s">
        <v>3</v>
      </c>
      <c r="E11" s="7"/>
    </row>
    <row r="12" spans="2:14" ht="15" customHeight="1" x14ac:dyDescent="0.25">
      <c r="B12" s="11" t="s">
        <v>12</v>
      </c>
      <c r="C12" s="11" t="s">
        <v>20</v>
      </c>
      <c r="D12" s="11">
        <v>171</v>
      </c>
      <c r="E12" s="14"/>
      <c r="F12" s="14"/>
      <c r="H12" s="1" t="s">
        <v>26</v>
      </c>
    </row>
    <row r="13" spans="2:14" x14ac:dyDescent="0.25">
      <c r="B13" s="11" t="s">
        <v>13</v>
      </c>
      <c r="C13" s="11" t="s">
        <v>20</v>
      </c>
      <c r="D13" s="11">
        <v>64</v>
      </c>
      <c r="E13" s="14"/>
      <c r="F13" s="14"/>
      <c r="G13" s="1"/>
      <c r="H13" s="66" t="s">
        <v>5</v>
      </c>
      <c r="I13" s="66"/>
      <c r="J13" s="66"/>
      <c r="K13" s="66"/>
      <c r="L13" s="66"/>
      <c r="M13" s="66"/>
      <c r="N13" s="66"/>
    </row>
    <row r="14" spans="2:14" ht="15" customHeight="1" x14ac:dyDescent="0.25">
      <c r="B14" s="11" t="s">
        <v>14</v>
      </c>
      <c r="C14" s="11" t="s">
        <v>20</v>
      </c>
      <c r="D14" s="11">
        <v>127</v>
      </c>
      <c r="E14" s="14"/>
      <c r="F14" s="14"/>
      <c r="G14" s="6" t="s">
        <v>4</v>
      </c>
      <c r="H14" s="21" t="s">
        <v>12</v>
      </c>
      <c r="I14" s="21" t="s">
        <v>13</v>
      </c>
      <c r="J14" s="21" t="s">
        <v>14</v>
      </c>
      <c r="K14" s="21" t="s">
        <v>15</v>
      </c>
      <c r="L14" s="21" t="s">
        <v>16</v>
      </c>
      <c r="M14" s="21" t="s">
        <v>39</v>
      </c>
      <c r="N14" s="21" t="s">
        <v>21</v>
      </c>
    </row>
    <row r="15" spans="2:14" x14ac:dyDescent="0.25">
      <c r="B15" s="11" t="s">
        <v>15</v>
      </c>
      <c r="C15" s="11" t="s">
        <v>20</v>
      </c>
      <c r="D15" s="11">
        <v>184</v>
      </c>
      <c r="E15" s="14"/>
      <c r="F15" s="14"/>
      <c r="G15" s="16" t="s">
        <v>11</v>
      </c>
      <c r="H15" s="11">
        <v>14</v>
      </c>
      <c r="I15" s="11">
        <v>13</v>
      </c>
      <c r="J15" s="11">
        <v>3.5</v>
      </c>
      <c r="K15" s="11">
        <v>3.5</v>
      </c>
      <c r="L15" s="11">
        <v>4</v>
      </c>
      <c r="M15" s="11">
        <v>0</v>
      </c>
      <c r="N15" s="11">
        <v>15</v>
      </c>
    </row>
    <row r="16" spans="2:14" x14ac:dyDescent="0.25">
      <c r="B16" s="11" t="s">
        <v>16</v>
      </c>
      <c r="C16" s="11" t="s">
        <v>20</v>
      </c>
      <c r="D16" s="11">
        <v>64</v>
      </c>
      <c r="E16" s="14"/>
      <c r="F16" s="14"/>
      <c r="G16" s="16" t="s">
        <v>41</v>
      </c>
      <c r="H16" s="11">
        <v>10</v>
      </c>
      <c r="I16" s="11">
        <v>10</v>
      </c>
      <c r="J16" s="11">
        <v>7.5</v>
      </c>
      <c r="K16" s="11">
        <v>7.5</v>
      </c>
      <c r="L16" s="11">
        <v>10</v>
      </c>
      <c r="M16" s="11">
        <v>5</v>
      </c>
      <c r="N16" s="11">
        <v>10</v>
      </c>
    </row>
    <row r="17" spans="2:14" x14ac:dyDescent="0.25">
      <c r="B17" s="11" t="s">
        <v>39</v>
      </c>
      <c r="C17" s="28" t="s">
        <v>23</v>
      </c>
      <c r="D17" s="11">
        <v>381</v>
      </c>
      <c r="E17" s="14"/>
      <c r="F17" s="15"/>
      <c r="G17" s="16" t="s">
        <v>21</v>
      </c>
      <c r="H17" s="11">
        <v>7</v>
      </c>
      <c r="I17" s="11">
        <v>8</v>
      </c>
      <c r="J17" s="11">
        <v>14</v>
      </c>
      <c r="K17" s="11">
        <v>14</v>
      </c>
      <c r="L17" s="11">
        <v>22</v>
      </c>
      <c r="M17" s="11">
        <v>14</v>
      </c>
      <c r="N17" s="11">
        <v>0</v>
      </c>
    </row>
    <row r="18" spans="2:14" x14ac:dyDescent="0.25">
      <c r="B18" s="11" t="s">
        <v>41</v>
      </c>
      <c r="C18" s="28" t="s">
        <v>22</v>
      </c>
      <c r="D18" s="11">
        <v>0</v>
      </c>
      <c r="E18" s="14"/>
    </row>
    <row r="19" spans="2:14" x14ac:dyDescent="0.25">
      <c r="B19" s="11" t="s">
        <v>21</v>
      </c>
      <c r="C19" s="28" t="s">
        <v>23</v>
      </c>
      <c r="D19" s="11">
        <v>191</v>
      </c>
      <c r="E19" s="14"/>
    </row>
    <row r="20" spans="2:14" x14ac:dyDescent="0.25">
      <c r="B20" s="10" t="s">
        <v>10</v>
      </c>
      <c r="C20" s="10"/>
      <c r="D20" s="15">
        <f>SUM(D12:D19)</f>
        <v>1182</v>
      </c>
      <c r="E20" s="15"/>
      <c r="H20" s="1" t="s">
        <v>62</v>
      </c>
    </row>
    <row r="21" spans="2:14" x14ac:dyDescent="0.25">
      <c r="G21" s="1"/>
      <c r="H21" s="63" t="s">
        <v>5</v>
      </c>
      <c r="I21" s="64"/>
      <c r="J21" s="64"/>
      <c r="K21" s="64"/>
      <c r="L21" s="65"/>
    </row>
    <row r="22" spans="2:14" x14ac:dyDescent="0.25">
      <c r="B22" s="1" t="s">
        <v>17</v>
      </c>
      <c r="C22" s="1"/>
      <c r="G22" s="6" t="s">
        <v>4</v>
      </c>
      <c r="H22" s="21" t="s">
        <v>12</v>
      </c>
      <c r="I22" s="21" t="s">
        <v>13</v>
      </c>
      <c r="J22" s="21" t="s">
        <v>14</v>
      </c>
      <c r="K22" s="21" t="s">
        <v>15</v>
      </c>
      <c r="L22" s="21" t="s">
        <v>16</v>
      </c>
    </row>
    <row r="23" spans="2:14" x14ac:dyDescent="0.25">
      <c r="B23" t="s">
        <v>31</v>
      </c>
      <c r="G23" s="19" t="s">
        <v>39</v>
      </c>
      <c r="H23" s="11">
        <v>14</v>
      </c>
      <c r="I23" s="11">
        <v>13</v>
      </c>
      <c r="J23" s="11">
        <v>3.5</v>
      </c>
      <c r="K23" s="11">
        <v>3.5</v>
      </c>
      <c r="L23" s="11">
        <v>4</v>
      </c>
    </row>
    <row r="24" spans="2:14" x14ac:dyDescent="0.25">
      <c r="B24" s="13" t="s">
        <v>32</v>
      </c>
      <c r="C24" s="13"/>
    </row>
    <row r="25" spans="2:14" x14ac:dyDescent="0.25">
      <c r="B25" s="13" t="s">
        <v>33</v>
      </c>
      <c r="C25" s="13"/>
    </row>
    <row r="27" spans="2:14" x14ac:dyDescent="0.25">
      <c r="B27" s="1" t="s">
        <v>34</v>
      </c>
    </row>
    <row r="28" spans="2:14" x14ac:dyDescent="0.25">
      <c r="B28" s="1" t="s">
        <v>44</v>
      </c>
    </row>
    <row r="29" spans="2:14" x14ac:dyDescent="0.25">
      <c r="B29" s="1" t="s">
        <v>45</v>
      </c>
    </row>
    <row r="30" spans="2:14" x14ac:dyDescent="0.25">
      <c r="B30" s="1" t="s">
        <v>46</v>
      </c>
    </row>
  </sheetData>
  <mergeCells count="3">
    <mergeCell ref="H21:L21"/>
    <mergeCell ref="H4:J4"/>
    <mergeCell ref="H13:N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193D-96ED-433F-A8F1-80B6D08393AA}">
  <dimension ref="B2:J8"/>
  <sheetViews>
    <sheetView showGridLines="0" workbookViewId="0">
      <selection activeCell="B2" sqref="B2:J8"/>
    </sheetView>
  </sheetViews>
  <sheetFormatPr defaultRowHeight="15" x14ac:dyDescent="0.25"/>
  <cols>
    <col min="1" max="1" width="5" customWidth="1"/>
    <col min="2" max="2" width="15.42578125" customWidth="1"/>
    <col min="3" max="10" width="14.140625" customWidth="1"/>
  </cols>
  <sheetData>
    <row r="2" spans="2:10" x14ac:dyDescent="0.25">
      <c r="B2" s="25" t="s">
        <v>27</v>
      </c>
      <c r="C2" s="26" t="s">
        <v>40</v>
      </c>
      <c r="D2" s="26" t="s">
        <v>43</v>
      </c>
      <c r="E2" s="26" t="s">
        <v>28</v>
      </c>
      <c r="F2" s="23" t="s">
        <v>12</v>
      </c>
      <c r="G2" s="23" t="s">
        <v>13</v>
      </c>
      <c r="H2" s="23" t="s">
        <v>14</v>
      </c>
      <c r="I2" s="23" t="s">
        <v>15</v>
      </c>
      <c r="J2" s="23" t="s">
        <v>16</v>
      </c>
    </row>
    <row r="3" spans="2:10" x14ac:dyDescent="0.25">
      <c r="B3" s="24" t="s">
        <v>6</v>
      </c>
      <c r="C3" s="3">
        <v>14</v>
      </c>
      <c r="D3" s="3">
        <v>9</v>
      </c>
      <c r="E3" s="3">
        <v>20</v>
      </c>
      <c r="F3" s="22" t="s">
        <v>29</v>
      </c>
      <c r="G3" s="22" t="s">
        <v>29</v>
      </c>
      <c r="H3" s="22" t="s">
        <v>29</v>
      </c>
      <c r="I3" s="22" t="s">
        <v>29</v>
      </c>
      <c r="J3" s="22" t="s">
        <v>29</v>
      </c>
    </row>
    <row r="4" spans="2:10" x14ac:dyDescent="0.25">
      <c r="B4" s="24" t="s">
        <v>7</v>
      </c>
      <c r="C4" s="3">
        <v>35</v>
      </c>
      <c r="D4" s="3">
        <v>20</v>
      </c>
      <c r="E4" s="3">
        <v>35</v>
      </c>
      <c r="F4" s="22" t="s">
        <v>29</v>
      </c>
      <c r="G4" s="22" t="s">
        <v>29</v>
      </c>
      <c r="H4" s="22" t="s">
        <v>29</v>
      </c>
      <c r="I4" s="22" t="s">
        <v>29</v>
      </c>
      <c r="J4" s="22" t="s">
        <v>29</v>
      </c>
    </row>
    <row r="5" spans="2:10" x14ac:dyDescent="0.25">
      <c r="B5" s="24" t="s">
        <v>9</v>
      </c>
      <c r="C5" s="3">
        <v>30</v>
      </c>
      <c r="D5" s="3">
        <v>15</v>
      </c>
      <c r="E5" s="3">
        <v>35</v>
      </c>
      <c r="F5" s="22" t="s">
        <v>29</v>
      </c>
      <c r="G5" s="22" t="s">
        <v>29</v>
      </c>
      <c r="H5" s="22" t="s">
        <v>29</v>
      </c>
      <c r="I5" s="22" t="s">
        <v>29</v>
      </c>
      <c r="J5" s="22" t="s">
        <v>29</v>
      </c>
    </row>
    <row r="6" spans="2:10" x14ac:dyDescent="0.25">
      <c r="B6" s="27" t="s">
        <v>40</v>
      </c>
      <c r="C6" s="3">
        <v>0</v>
      </c>
      <c r="D6" s="22" t="s">
        <v>29</v>
      </c>
      <c r="E6" s="3">
        <v>15</v>
      </c>
      <c r="F6" s="3">
        <v>14</v>
      </c>
      <c r="G6" s="3">
        <v>13</v>
      </c>
      <c r="H6" s="3">
        <v>3.5</v>
      </c>
      <c r="I6" s="3">
        <v>3.5</v>
      </c>
      <c r="J6" s="3">
        <v>4</v>
      </c>
    </row>
    <row r="7" spans="2:10" x14ac:dyDescent="0.25">
      <c r="B7" s="27" t="s">
        <v>42</v>
      </c>
      <c r="C7" s="3">
        <v>5</v>
      </c>
      <c r="D7" s="3">
        <v>0</v>
      </c>
      <c r="E7" s="3">
        <v>10</v>
      </c>
      <c r="F7" s="3">
        <v>10</v>
      </c>
      <c r="G7" s="3">
        <v>10</v>
      </c>
      <c r="H7" s="3">
        <v>7.5</v>
      </c>
      <c r="I7" s="3">
        <v>7.5</v>
      </c>
      <c r="J7" s="3">
        <v>10</v>
      </c>
    </row>
    <row r="8" spans="2:10" x14ac:dyDescent="0.25">
      <c r="B8" s="27" t="s">
        <v>30</v>
      </c>
      <c r="C8" s="3">
        <v>14</v>
      </c>
      <c r="D8" s="22" t="s">
        <v>29</v>
      </c>
      <c r="E8" s="3">
        <v>0</v>
      </c>
      <c r="F8" s="3">
        <v>7</v>
      </c>
      <c r="G8" s="3">
        <v>8</v>
      </c>
      <c r="H8" s="3">
        <v>14</v>
      </c>
      <c r="I8" s="3">
        <v>14</v>
      </c>
      <c r="J8" s="3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22EF-A344-450B-8E8D-C94DB2DC7F2F}">
  <dimension ref="B2:C16"/>
  <sheetViews>
    <sheetView showGridLines="0" workbookViewId="0">
      <selection activeCell="B2" sqref="B2:C16"/>
    </sheetView>
  </sheetViews>
  <sheetFormatPr defaultRowHeight="15" x14ac:dyDescent="0.25"/>
  <cols>
    <col min="1" max="1" width="5.140625" customWidth="1"/>
    <col min="2" max="2" width="19.7109375" bestFit="1" customWidth="1"/>
    <col min="3" max="3" width="12.42578125" bestFit="1" customWidth="1"/>
  </cols>
  <sheetData>
    <row r="2" spans="2:3" x14ac:dyDescent="0.25">
      <c r="B2" s="6" t="s">
        <v>63</v>
      </c>
      <c r="C2" s="6" t="s">
        <v>64</v>
      </c>
    </row>
    <row r="3" spans="2:3" x14ac:dyDescent="0.25">
      <c r="B3" s="11" t="s">
        <v>6</v>
      </c>
      <c r="C3" s="11" t="s">
        <v>77</v>
      </c>
    </row>
    <row r="4" spans="2:3" x14ac:dyDescent="0.25">
      <c r="B4" s="11" t="s">
        <v>7</v>
      </c>
      <c r="C4" s="11" t="s">
        <v>65</v>
      </c>
    </row>
    <row r="5" spans="2:3" x14ac:dyDescent="0.25">
      <c r="B5" s="11" t="s">
        <v>9</v>
      </c>
      <c r="C5" s="11" t="s">
        <v>76</v>
      </c>
    </row>
    <row r="6" spans="2:3" x14ac:dyDescent="0.25">
      <c r="B6" s="11" t="s">
        <v>52</v>
      </c>
      <c r="C6" s="11" t="s">
        <v>66</v>
      </c>
    </row>
    <row r="7" spans="2:3" x14ac:dyDescent="0.25">
      <c r="B7" s="11" t="s">
        <v>47</v>
      </c>
      <c r="C7" s="11" t="s">
        <v>67</v>
      </c>
    </row>
    <row r="8" spans="2:3" x14ac:dyDescent="0.25">
      <c r="B8" s="11" t="s">
        <v>48</v>
      </c>
      <c r="C8" s="11" t="s">
        <v>68</v>
      </c>
    </row>
    <row r="9" spans="2:3" x14ac:dyDescent="0.25">
      <c r="B9" s="11" t="s">
        <v>49</v>
      </c>
      <c r="C9" s="11" t="s">
        <v>74</v>
      </c>
    </row>
    <row r="10" spans="2:3" x14ac:dyDescent="0.25">
      <c r="B10" s="11" t="s">
        <v>12</v>
      </c>
      <c r="C10" s="11" t="s">
        <v>69</v>
      </c>
    </row>
    <row r="11" spans="2:3" x14ac:dyDescent="0.25">
      <c r="B11" s="11" t="s">
        <v>13</v>
      </c>
      <c r="C11" s="11" t="s">
        <v>70</v>
      </c>
    </row>
    <row r="12" spans="2:3" x14ac:dyDescent="0.25">
      <c r="B12" s="11" t="s">
        <v>14</v>
      </c>
      <c r="C12" s="11" t="s">
        <v>71</v>
      </c>
    </row>
    <row r="13" spans="2:3" x14ac:dyDescent="0.25">
      <c r="B13" s="11" t="s">
        <v>15</v>
      </c>
      <c r="C13" s="11" t="s">
        <v>78</v>
      </c>
    </row>
    <row r="14" spans="2:3" x14ac:dyDescent="0.25">
      <c r="B14" s="11" t="s">
        <v>16</v>
      </c>
      <c r="C14" s="11" t="s">
        <v>72</v>
      </c>
    </row>
    <row r="15" spans="2:3" x14ac:dyDescent="0.25">
      <c r="B15" s="11" t="s">
        <v>50</v>
      </c>
      <c r="C15" s="11" t="s">
        <v>73</v>
      </c>
    </row>
    <row r="16" spans="2:3" x14ac:dyDescent="0.25">
      <c r="B16" s="11" t="s">
        <v>51</v>
      </c>
      <c r="C16" s="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 Diagram</vt:lpstr>
      <vt:lpstr>Setup</vt:lpstr>
      <vt:lpstr>Cost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Choi</dc:creator>
  <cp:lastModifiedBy>Joseph Choi</cp:lastModifiedBy>
  <dcterms:created xsi:type="dcterms:W3CDTF">2025-10-03T05:44:47Z</dcterms:created>
  <dcterms:modified xsi:type="dcterms:W3CDTF">2025-10-09T05:49:42Z</dcterms:modified>
</cp:coreProperties>
</file>